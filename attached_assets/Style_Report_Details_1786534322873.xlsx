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ndiagichuru/Desktop/"/>
    </mc:Choice>
  </mc:AlternateContent>
  <xr:revisionPtr revIDLastSave="0" documentId="8_{EFE12030-3D9F-044F-939F-48FA443A9DCF}" xr6:coauthVersionLast="47" xr6:coauthVersionMax="47" xr10:uidLastSave="{00000000-0000-0000-0000-000000000000}"/>
  <bookViews>
    <workbookView xWindow="0" yWindow="660" windowWidth="30240" windowHeight="17360" xr2:uid="{F5EE11D6-8143-8842-8FD6-BAA476597E39}"/>
  </bookViews>
  <sheets>
    <sheet name="THIRD LIST" sheetId="1" r:id="rId1"/>
  </sheets>
  <definedNames>
    <definedName name="_xlnm._FilterDatabase" localSheetId="0" hidden="1">'THIRD LIST'!$A$1:$V$2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2" i="1" l="1"/>
  <c r="M2" i="1"/>
  <c r="O2" i="1"/>
  <c r="P2" i="1" s="1"/>
  <c r="S2" i="1"/>
  <c r="L2" i="1"/>
  <c r="H2" i="1"/>
</calcChain>
</file>

<file path=xl/sharedStrings.xml><?xml version="1.0" encoding="utf-8"?>
<sst xmlns="http://schemas.openxmlformats.org/spreadsheetml/2006/main" count="28" uniqueCount="28">
  <si>
    <t>SOH</t>
  </si>
  <si>
    <t>Tier</t>
  </si>
  <si>
    <t>Vivo</t>
  </si>
  <si>
    <t>Knee Length Dresses</t>
  </si>
  <si>
    <t>V0919035</t>
  </si>
  <si>
    <t>Vivo Basic 3/4 Sleeve Double Layered Bodycon Dress</t>
  </si>
  <si>
    <t>Brand</t>
  </si>
  <si>
    <t>SOR Since Launch %</t>
  </si>
  <si>
    <t>Last Sale (days)</t>
  </si>
  <si>
    <t>Mark Down</t>
  </si>
  <si>
    <t>% Full Price</t>
  </si>
  <si>
    <t>Launch Date</t>
  </si>
  <si>
    <t>Style Number</t>
  </si>
  <si>
    <t>Subcategory</t>
  </si>
  <si>
    <t>Style Name</t>
  </si>
  <si>
    <t>Age (Weeks</t>
  </si>
  <si>
    <t>6m SOR</t>
  </si>
  <si>
    <t>6m Units Sold</t>
  </si>
  <si>
    <t>6m Rev</t>
  </si>
  <si>
    <t>6m WOC</t>
  </si>
  <si>
    <t>Last Order Date</t>
  </si>
  <si>
    <t xml:space="preserve"> </t>
  </si>
  <si>
    <t>Inventory Value (at Full Price)</t>
  </si>
  <si>
    <t>ASP (6m)</t>
  </si>
  <si>
    <t>Full Price (Kes)</t>
  </si>
  <si>
    <t>Weekly Units Sold</t>
  </si>
  <si>
    <t>Recommendation</t>
  </si>
  <si>
    <t>Retire? Restock? Marketing?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</si>
</sst>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1" xfId="0" applyFont="1" applyFill="1" applyBorder="1" applyAlignment="1">
      <alignment horizontal="center" wrapText="1"/>
    </xf>
    <xf numFmtId="0" fontId="3" fillId="0" borderId="1" xfId="0" applyFont="1" applyFill="1" applyBorder="1" applyAlignment="1">
      <alignment horizontal="center" wrapText="1"/>
    </xf>
    <xf numFmtId="0" fontId="3" fillId="0" borderId="0" xfId="0" applyFont="1" applyFill="1" applyAlignment="1">
      <alignment horizontal="center" wrapText="1"/>
    </xf>
    <xf numFmtId="164" fontId="2" fillId="0" borderId="1" xfId="1" applyNumberFormat="1" applyFont="1" applyFill="1" applyBorder="1" applyAlignment="1">
      <alignment horizontal="center" wrapText="1"/>
    </xf>
    <xf numFmtId="0" fontId="2" fillId="0" borderId="0" xfId="0" applyFont="1" applyFill="1" applyAlignment="1">
      <alignment horizontal="center" wrapText="1"/>
    </xf>
    <xf numFmtId="43" fontId="2" fillId="0" borderId="1" xfId="1" applyFont="1" applyFill="1" applyBorder="1" applyAlignment="1">
      <alignment horizontal="center" wrapText="1"/>
    </xf>
    <xf numFmtId="14" fontId="3" fillId="0" borderId="1" xfId="0" applyNumberFormat="1" applyFont="1" applyFill="1" applyBorder="1" applyAlignment="1">
      <alignment horizontal="center" wrapText="1"/>
    </xf>
    <xf numFmtId="9" fontId="3" fillId="0" borderId="1" xfId="2" applyFont="1" applyFill="1" applyBorder="1" applyAlignment="1">
      <alignment horizontal="center" wrapText="1"/>
    </xf>
    <xf numFmtId="164" fontId="3" fillId="0" borderId="1" xfId="1" applyNumberFormat="1" applyFont="1" applyFill="1" applyBorder="1" applyAlignment="1">
      <alignment horizontal="center" wrapText="1"/>
    </xf>
    <xf numFmtId="43" fontId="3" fillId="0" borderId="1" xfId="0" applyNumberFormat="1" applyFont="1" applyFill="1" applyBorder="1" applyAlignment="1">
      <alignment horizontal="center" wrapText="1"/>
    </xf>
    <xf numFmtId="43" fontId="3" fillId="0" borderId="1" xfId="1" applyFont="1" applyFill="1" applyBorder="1" applyAlignment="1">
      <alignment horizontal="center" wrapText="1"/>
    </xf>
    <xf numFmtId="164" fontId="3" fillId="0" borderId="1" xfId="0" applyNumberFormat="1" applyFont="1" applyFill="1" applyBorder="1" applyAlignment="1">
      <alignment horizontal="center" wrapText="1"/>
    </xf>
    <xf numFmtId="164" fontId="3" fillId="0" borderId="0" xfId="1" applyNumberFormat="1" applyFont="1" applyFill="1" applyAlignment="1">
      <alignment horizontal="center" wrapText="1"/>
    </xf>
    <xf numFmtId="43" fontId="3" fillId="0" borderId="0" xfId="1" applyFont="1" applyFill="1" applyAlignment="1">
      <alignment horizontal="center" wrapText="1"/>
    </xf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7F322-5316-0649-A745-FF8FF60DABE5}">
  <dimension ref="A1:V2"/>
  <sheetViews>
    <sheetView tabSelected="1" zoomScale="150" zoomScaleNormal="150" workbookViewId="0">
      <pane ySplit="1" topLeftCell="A2" activePane="bottomLeft" state="frozen"/>
      <selection pane="bottomLeft" activeCell="L6" sqref="L6"/>
    </sheetView>
  </sheetViews>
  <sheetFormatPr baseColWidth="10" defaultColWidth="22.1640625" defaultRowHeight="14" x14ac:dyDescent="0.15"/>
  <cols>
    <col min="1" max="1" width="22" style="3" bestFit="1" customWidth="1"/>
    <col min="2" max="2" width="10.6640625" style="3" bestFit="1" customWidth="1"/>
    <col min="3" max="3" width="8" style="3" bestFit="1" customWidth="1"/>
    <col min="4" max="4" width="9.1640625" style="3" bestFit="1" customWidth="1"/>
    <col min="5" max="5" width="7" style="3" bestFit="1" customWidth="1"/>
    <col min="6" max="6" width="13.1640625" style="3" bestFit="1" customWidth="1"/>
    <col min="7" max="7" width="10" style="3" bestFit="1" customWidth="1"/>
    <col min="8" max="8" width="7.1640625" style="13" bestFit="1" customWidth="1"/>
    <col min="9" max="9" width="7.6640625" style="13" customWidth="1"/>
    <col min="10" max="10" width="9.1640625" style="13" bestFit="1" customWidth="1"/>
    <col min="11" max="11" width="10" style="13" bestFit="1" customWidth="1"/>
    <col min="12" max="12" width="10.83203125" style="13" bestFit="1" customWidth="1"/>
    <col min="13" max="13" width="12.83203125" style="3" bestFit="1" customWidth="1"/>
    <col min="14" max="14" width="12.6640625" style="13" bestFit="1" customWidth="1"/>
    <col min="15" max="15" width="7.33203125" style="3" bestFit="1" customWidth="1"/>
    <col min="16" max="16" width="10.1640625" style="14" bestFit="1" customWidth="1"/>
    <col min="17" max="17" width="7.1640625" style="3" customWidth="1"/>
    <col min="18" max="18" width="7.1640625" style="3" bestFit="1" customWidth="1"/>
    <col min="19" max="19" width="14.33203125" style="3" customWidth="1"/>
    <col min="20" max="20" width="19.83203125" style="3" bestFit="1" customWidth="1"/>
    <col min="21" max="21" width="8.33203125" style="3" bestFit="1" customWidth="1"/>
    <col min="22" max="22" width="14.1640625" style="3" customWidth="1"/>
    <col min="23" max="16384" width="22.1640625" style="3"/>
  </cols>
  <sheetData>
    <row r="1" spans="1:22" s="5" customFormat="1" ht="48" customHeight="1" x14ac:dyDescent="0.15">
      <c r="A1" s="1" t="s">
        <v>14</v>
      </c>
      <c r="B1" s="1" t="s">
        <v>13</v>
      </c>
      <c r="C1" s="1" t="s">
        <v>12</v>
      </c>
      <c r="D1" s="1" t="s">
        <v>1</v>
      </c>
      <c r="E1" s="1" t="s">
        <v>0</v>
      </c>
      <c r="F1" s="1" t="s">
        <v>11</v>
      </c>
      <c r="G1" s="1" t="s">
        <v>15</v>
      </c>
      <c r="H1" s="1" t="s">
        <v>16</v>
      </c>
      <c r="I1" s="4" t="s">
        <v>17</v>
      </c>
      <c r="J1" s="4" t="s">
        <v>18</v>
      </c>
      <c r="K1" s="4" t="s">
        <v>24</v>
      </c>
      <c r="L1" s="4" t="s">
        <v>23</v>
      </c>
      <c r="M1" s="1" t="s">
        <v>10</v>
      </c>
      <c r="N1" s="4" t="s">
        <v>9</v>
      </c>
      <c r="O1" s="1" t="s">
        <v>25</v>
      </c>
      <c r="P1" s="6" t="s">
        <v>19</v>
      </c>
      <c r="Q1" s="1" t="s">
        <v>8</v>
      </c>
      <c r="R1" s="1" t="s">
        <v>20</v>
      </c>
      <c r="S1" s="1" t="s">
        <v>22</v>
      </c>
      <c r="T1" s="1" t="s">
        <v>7</v>
      </c>
      <c r="U1" s="1" t="s">
        <v>6</v>
      </c>
      <c r="V1" s="1" t="s">
        <v>26</v>
      </c>
    </row>
    <row r="2" spans="1:22" ht="30" x14ac:dyDescent="0.15">
      <c r="A2" s="2" t="s">
        <v>5</v>
      </c>
      <c r="B2" s="2" t="s">
        <v>3</v>
      </c>
      <c r="C2" s="2" t="s">
        <v>4</v>
      </c>
      <c r="D2" s="2">
        <v>1</v>
      </c>
      <c r="E2" s="2">
        <v>303</v>
      </c>
      <c r="F2" s="7">
        <v>43782</v>
      </c>
      <c r="G2" s="2">
        <v>352</v>
      </c>
      <c r="H2" s="8">
        <f>I2/(I2+E2)</f>
        <v>0.55243722304283605</v>
      </c>
      <c r="I2" s="9">
        <v>374</v>
      </c>
      <c r="J2" s="9">
        <v>1540199</v>
      </c>
      <c r="K2" s="9">
        <v>4900</v>
      </c>
      <c r="L2" s="9">
        <f>K2*0.84</f>
        <v>4116</v>
      </c>
      <c r="M2" s="8">
        <f>L2/K2</f>
        <v>0.84</v>
      </c>
      <c r="N2" s="8">
        <f>1-M2</f>
        <v>0.16000000000000003</v>
      </c>
      <c r="O2" s="10">
        <f>I2/26</f>
        <v>14.384615384615385</v>
      </c>
      <c r="P2" s="11">
        <f>E2/O2</f>
        <v>21.064171122994651</v>
      </c>
      <c r="Q2" s="2">
        <v>3</v>
      </c>
      <c r="R2" s="2" t="s">
        <v>21</v>
      </c>
      <c r="S2" s="12">
        <f>E2*K2</f>
        <v>1484700</v>
      </c>
      <c r="T2" s="8">
        <v>0.94799999999999995</v>
      </c>
      <c r="U2" s="2" t="s">
        <v>2</v>
      </c>
      <c r="V2" s="2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THIRD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WANDIA GICHURU</dc:creator>
  <cp:lastModifiedBy>WANDIA GICHURU</cp:lastModifiedBy>
  <dcterms:created xsi:type="dcterms:W3CDTF">2026-08-12T11:22:20Z</dcterms:created>
  <dcterms:modified xsi:type="dcterms:W3CDTF">2026-08-12T11:31:40Z</dcterms:modified>
</cp:coreProperties>
</file>