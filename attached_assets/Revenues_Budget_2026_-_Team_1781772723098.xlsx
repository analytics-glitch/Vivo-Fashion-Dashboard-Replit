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98bef2fe573759/Desktop/2026 Departmental Budgets/"/>
    </mc:Choice>
  </mc:AlternateContent>
  <xr:revisionPtr revIDLastSave="9" documentId="8_{5304E7B9-F940-4B27-8DC4-E0105A18F885}" xr6:coauthVersionLast="47" xr6:coauthVersionMax="47" xr10:uidLastSave="{EFE2D8EA-E1E0-4C1D-B120-AEC0A773AD3B}"/>
  <bookViews>
    <workbookView xWindow="-110" yWindow="-110" windowWidth="19420" windowHeight="11500" xr2:uid="{E374ADE0-E3E4-43A7-BA7E-46F97AEF890E}"/>
  </bookViews>
  <sheets>
    <sheet name="Quartely Summary" sheetId="6" r:id="rId1"/>
    <sheet name="Kenya" sheetId="1" r:id="rId2"/>
    <sheet name="Online" sheetId="4" r:id="rId3"/>
    <sheet name="Uganda" sheetId="2" r:id="rId4"/>
    <sheet name="Rwanda" sheetId="3" r:id="rId5"/>
  </sheets>
  <definedNames>
    <definedName name="_xlnm._FilterDatabase" localSheetId="1" hidden="1">Kenya!$B$2:$O$2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E3" i="6" s="1"/>
  <c r="E5" i="2"/>
  <c r="F5" i="2"/>
  <c r="E4" i="6" s="1"/>
  <c r="G5" i="2"/>
  <c r="H5" i="2"/>
  <c r="I5" i="2"/>
  <c r="E5" i="6" s="1"/>
  <c r="J5" i="2"/>
  <c r="K5" i="2"/>
  <c r="L5" i="2"/>
  <c r="E6" i="6" s="1"/>
  <c r="M5" i="2"/>
  <c r="N5" i="2"/>
  <c r="O5" i="2"/>
  <c r="C5" i="2"/>
  <c r="O4" i="2"/>
  <c r="O3" i="2"/>
  <c r="F6" i="6"/>
  <c r="F5" i="6"/>
  <c r="F4" i="6"/>
  <c r="F7" i="6" s="1"/>
  <c r="F3" i="6"/>
  <c r="O3" i="3"/>
  <c r="O3" i="4"/>
  <c r="O4" i="4" s="1"/>
  <c r="O5" i="4" s="1"/>
  <c r="D4" i="4"/>
  <c r="D5" i="4" s="1"/>
  <c r="L4" i="4"/>
  <c r="L5" i="4" s="1"/>
  <c r="C29" i="1"/>
  <c r="O28" i="1"/>
  <c r="E4" i="4"/>
  <c r="F4" i="4"/>
  <c r="F5" i="4" s="1"/>
  <c r="G4" i="4"/>
  <c r="G5" i="4" s="1"/>
  <c r="H4" i="4"/>
  <c r="H5" i="4" s="1"/>
  <c r="I4" i="4"/>
  <c r="I5" i="4" s="1"/>
  <c r="J4" i="4"/>
  <c r="J5" i="4" s="1"/>
  <c r="K4" i="4"/>
  <c r="K5" i="4" s="1"/>
  <c r="M4" i="4"/>
  <c r="M5" i="4" s="1"/>
  <c r="N4" i="4"/>
  <c r="N5" i="4" s="1"/>
  <c r="E5" i="4"/>
  <c r="C4" i="4"/>
  <c r="C5" i="4" s="1"/>
  <c r="E7" i="6" l="1"/>
  <c r="D6" i="6"/>
  <c r="D4" i="6"/>
  <c r="D5" i="6"/>
  <c r="D3" i="6"/>
  <c r="M29" i="1"/>
  <c r="O26" i="1"/>
  <c r="O13" i="1"/>
  <c r="O19" i="1"/>
  <c r="O20" i="1"/>
  <c r="O9" i="1"/>
  <c r="D29" i="1"/>
  <c r="C3" i="6" s="1"/>
  <c r="O4" i="1"/>
  <c r="O22" i="1"/>
  <c r="O27" i="1"/>
  <c r="O24" i="1"/>
  <c r="O21" i="1"/>
  <c r="O10" i="1"/>
  <c r="O5" i="1"/>
  <c r="O3" i="1"/>
  <c r="O23" i="1"/>
  <c r="O17" i="1"/>
  <c r="O7" i="1"/>
  <c r="O16" i="1"/>
  <c r="O12" i="1"/>
  <c r="O18" i="1"/>
  <c r="O14" i="1"/>
  <c r="O25" i="1"/>
  <c r="O15" i="1"/>
  <c r="L29" i="1"/>
  <c r="N29" i="1"/>
  <c r="F29" i="1"/>
  <c r="C4" i="6" s="1"/>
  <c r="O6" i="1"/>
  <c r="O11" i="1"/>
  <c r="E29" i="1"/>
  <c r="O8" i="1"/>
  <c r="K29" i="1"/>
  <c r="J29" i="1"/>
  <c r="I29" i="1"/>
  <c r="C5" i="6" s="1"/>
  <c r="H29" i="1"/>
  <c r="G29" i="1"/>
  <c r="C7" i="6" l="1"/>
  <c r="G5" i="6"/>
  <c r="C6" i="6"/>
  <c r="G6" i="6" s="1"/>
  <c r="G4" i="6"/>
  <c r="D7" i="6"/>
  <c r="G3" i="6"/>
  <c r="O29" i="1"/>
  <c r="Q29" i="1" s="1"/>
  <c r="O31" i="1" l="1"/>
  <c r="O33" i="1" s="1"/>
  <c r="G7" i="6"/>
</calcChain>
</file>

<file path=xl/sharedStrings.xml><?xml version="1.0" encoding="utf-8"?>
<sst xmlns="http://schemas.openxmlformats.org/spreadsheetml/2006/main" count="98" uniqueCount="55">
  <si>
    <t>PROJECTED 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</si>
  <si>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</si>
  <si>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</si>
  <si>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</si>
  <si>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</si>
  <si>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</si>
  <si>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</si>
  <si>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</si>
  <si>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</si>
  <si>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</si>
  <si>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</si>
  <si>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</si>
  <si>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</si>
  <si>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</si>
  <si>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Junction</t>
  </si>
  <si>
    <t>Galleria</t>
  </si>
  <si>
    <t>Yaya</t>
  </si>
  <si>
    <t>City Mall</t>
  </si>
  <si>
    <t>Online (Shop Zetu Vivo Sales)</t>
  </si>
  <si>
    <t>Garden City</t>
  </si>
  <si>
    <t>Village Market</t>
  </si>
  <si>
    <t>The Hub</t>
  </si>
  <si>
    <t xml:space="preserve">Westside </t>
  </si>
  <si>
    <t xml:space="preserve">Rupa Mall </t>
  </si>
  <si>
    <t xml:space="preserve">T-Mall </t>
  </si>
  <si>
    <t>Capital Centre</t>
  </si>
  <si>
    <t>Sarit Centre</t>
  </si>
  <si>
    <t>MAMA NGINA</t>
  </si>
  <si>
    <t>TWO RIVERS</t>
  </si>
  <si>
    <t>Kisumu</t>
  </si>
  <si>
    <t>TRM</t>
  </si>
  <si>
    <t>Imaara</t>
  </si>
  <si>
    <t>Signature</t>
  </si>
  <si>
    <t>Moi Avenue</t>
  </si>
  <si>
    <t>Greenspan</t>
  </si>
  <si>
    <t>Meru-Greenwood</t>
  </si>
  <si>
    <t>Kileleshwa</t>
  </si>
  <si>
    <t>Runda</t>
  </si>
  <si>
    <t>Mombasa CBD</t>
  </si>
  <si>
    <t>Zoya Sarit</t>
  </si>
  <si>
    <t>Safari Sarit</t>
  </si>
  <si>
    <t>Gross Vivo</t>
  </si>
  <si>
    <t>Gross SZ</t>
  </si>
  <si>
    <t>Total</t>
  </si>
  <si>
    <t>Kigali Heights</t>
  </si>
  <si>
    <t>Rwanda</t>
  </si>
  <si>
    <t>Q1</t>
  </si>
  <si>
    <t>Q2</t>
  </si>
  <si>
    <t>Q3</t>
  </si>
  <si>
    <t>Q4</t>
  </si>
  <si>
    <t>Kenya - Online</t>
  </si>
  <si>
    <t>Kenya - Retail</t>
  </si>
  <si>
    <t>Uganda</t>
  </si>
  <si>
    <t>Oasis Mall</t>
  </si>
  <si>
    <t>Acacia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</si>
</sst>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0_);_(* \(#,##0.0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164" fontId="2" fillId="0" borderId="0" xfId="1" applyNumberFormat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FC8F-B0A9-4344-AF0E-26C6C2CF855E}">
  <dimension ref="B2:I7"/>
  <sheetViews>
    <sheetView tabSelected="1" workbookViewId="0">
      <selection activeCell="I9" sqref="I9"/>
    </sheetView>
  </sheetViews>
  <sheetFormatPr defaultRowHeight="14.5" x14ac:dyDescent="0.35"/>
  <cols>
    <col min="3" max="3" width="16.36328125" bestFit="1" customWidth="1"/>
    <col min="4" max="4" width="13.81640625" bestFit="1" customWidth="1"/>
    <col min="5" max="5" width="14.81640625" bestFit="1" customWidth="1"/>
    <col min="6" max="6" width="13.81640625" bestFit="1" customWidth="1"/>
    <col min="7" max="7" width="16.36328125" bestFit="1" customWidth="1"/>
    <col min="9" max="9" width="14.81640625" bestFit="1" customWidth="1"/>
  </cols>
  <sheetData>
    <row r="2" spans="2:9" x14ac:dyDescent="0.35">
      <c r="C2" t="s">
        <v>51</v>
      </c>
      <c r="D2" t="s">
        <v>50</v>
      </c>
      <c r="E2" t="s">
        <v>52</v>
      </c>
      <c r="F2" t="s">
        <v>45</v>
      </c>
      <c r="G2" t="s">
        <v>43</v>
      </c>
    </row>
    <row r="3" spans="2:9" x14ac:dyDescent="0.35">
      <c r="B3" s="2" t="s">
        <v>46</v>
      </c>
      <c r="C3" s="3">
        <f>SUM(Kenya!C29:E29)</f>
        <v>235683270.16530603</v>
      </c>
      <c r="D3" s="3">
        <f>SUM(Online!C5:E5)</f>
        <v>23572899.428347498</v>
      </c>
      <c r="E3" s="3">
        <f>SUM(Uganda!C5:E5)</f>
        <v>26904396.372372016</v>
      </c>
      <c r="F3" s="3">
        <f>SUM(Rwanda!C3:E3)</f>
        <v>9780881.7778744958</v>
      </c>
      <c r="G3" s="3">
        <f>SUM(C3:F3)</f>
        <v>295941447.7439</v>
      </c>
      <c r="I3" s="3"/>
    </row>
    <row r="4" spans="2:9" x14ac:dyDescent="0.35">
      <c r="B4" s="2" t="s">
        <v>47</v>
      </c>
      <c r="C4" s="3">
        <f>SUM(Kenya!F29:H29)</f>
        <v>268560234.85495198</v>
      </c>
      <c r="D4" s="3">
        <f>SUM(Online!F5:H5)</f>
        <v>24678062.012834996</v>
      </c>
      <c r="E4" s="3">
        <f>SUM(Uganda!F5:H5)</f>
        <v>28253262.56692113</v>
      </c>
      <c r="F4" s="3">
        <f>SUM(Rwanda!F3:H3)</f>
        <v>11774964.600323668</v>
      </c>
      <c r="G4" s="3">
        <f t="shared" ref="G4:G7" si="0">SUM(C4:F4)</f>
        <v>333266524.0350318</v>
      </c>
      <c r="I4" s="3"/>
    </row>
    <row r="5" spans="2:9" x14ac:dyDescent="0.35">
      <c r="B5" s="2" t="s">
        <v>48</v>
      </c>
      <c r="C5" s="3">
        <f>SUM(Kenya!I29:K29)</f>
        <v>311407943.27354395</v>
      </c>
      <c r="D5" s="3">
        <f>SUM(Online!I5:K5)</f>
        <v>23719608.11451</v>
      </c>
      <c r="E5" s="3">
        <f>SUM(Uganda!I5:K5)</f>
        <v>28975737.76403746</v>
      </c>
      <c r="F5" s="3">
        <f>SUM(Rwanda!I3:K3)</f>
        <v>10543259.276706053</v>
      </c>
      <c r="G5" s="3">
        <f t="shared" si="0"/>
        <v>374646548.42879742</v>
      </c>
      <c r="I5" s="3"/>
    </row>
    <row r="6" spans="2:9" x14ac:dyDescent="0.35">
      <c r="B6" s="2" t="s">
        <v>49</v>
      </c>
      <c r="C6" s="3">
        <f>SUM(Kenya!L29:N29)</f>
        <v>344585011.93657708</v>
      </c>
      <c r="D6" s="3">
        <f>SUM(Online!L5:N5)</f>
        <v>27552554.771141402</v>
      </c>
      <c r="E6" s="3">
        <f>SUM(Uganda!L5:N5)</f>
        <v>38830408.845766023</v>
      </c>
      <c r="F6" s="3">
        <f>SUM(Rwanda!L3:N3)</f>
        <v>19699177.338678785</v>
      </c>
      <c r="G6" s="3">
        <f t="shared" si="0"/>
        <v>430667152.89216328</v>
      </c>
      <c r="I6" s="3"/>
    </row>
    <row r="7" spans="2:9" x14ac:dyDescent="0.35">
      <c r="B7" s="2" t="s">
        <v>43</v>
      </c>
      <c r="C7" s="3">
        <f>SUM(C3:C6)</f>
        <v>1160236460.2303791</v>
      </c>
      <c r="D7" s="3">
        <f t="shared" ref="D7:F7" si="1">SUM(D3:D6)</f>
        <v>99523124.326833904</v>
      </c>
      <c r="E7" s="3">
        <f t="shared" si="1"/>
        <v>122963805.54909663</v>
      </c>
      <c r="F7" s="3">
        <f t="shared" si="1"/>
        <v>51798282.993583001</v>
      </c>
      <c r="G7" s="3">
        <f t="shared" si="0"/>
        <v>1434521673.0998926</v>
      </c>
      <c r="I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EA03-64F9-4395-BD20-E5C8EA5075E7}">
  <dimension ref="B2:Q33"/>
  <sheetViews>
    <sheetView topLeftCell="A17" workbookViewId="0">
      <selection activeCell="C37" sqref="C37"/>
    </sheetView>
  </sheetViews>
  <sheetFormatPr defaultRowHeight="14.5" x14ac:dyDescent="0.35"/>
  <cols>
    <col min="2" max="2" width="26.1796875" bestFit="1" customWidth="1"/>
    <col min="3" max="3" width="16.36328125" bestFit="1" customWidth="1"/>
    <col min="4" max="8" width="13.81640625" bestFit="1" customWidth="1"/>
    <col min="9" max="10" width="14.81640625" bestFit="1" customWidth="1"/>
    <col min="11" max="12" width="13.81640625" bestFit="1" customWidth="1"/>
    <col min="13" max="14" width="14.81640625" bestFit="1" customWidth="1"/>
    <col min="15" max="15" width="16.36328125" bestFit="1" customWidth="1"/>
  </cols>
  <sheetData>
    <row r="2" spans="2:15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2:15" x14ac:dyDescent="0.35">
      <c r="B3" s="2" t="s">
        <v>26</v>
      </c>
      <c r="C3" s="1">
        <v>7181408.7765420005</v>
      </c>
      <c r="D3" s="1">
        <v>7839001.1191799995</v>
      </c>
      <c r="E3" s="1">
        <v>7703064.569046</v>
      </c>
      <c r="F3" s="1">
        <v>9794786.8838819992</v>
      </c>
      <c r="G3" s="1">
        <v>8267995.8613559995</v>
      </c>
      <c r="H3" s="1">
        <v>8386974.7102680011</v>
      </c>
      <c r="I3" s="1">
        <v>9716941.0338000003</v>
      </c>
      <c r="J3" s="1">
        <v>10465003.358039999</v>
      </c>
      <c r="K3" s="1">
        <v>8286316.4473320004</v>
      </c>
      <c r="L3" s="1">
        <v>9175023.9536802005</v>
      </c>
      <c r="M3" s="1">
        <v>11214094.564004641</v>
      </c>
      <c r="N3" s="1">
        <v>14004384.45296352</v>
      </c>
      <c r="O3" s="1">
        <f t="shared" ref="O3:O28" si="0">SUM(C3:N3)</f>
        <v>112034995.73009436</v>
      </c>
    </row>
    <row r="4" spans="2:15" x14ac:dyDescent="0.35">
      <c r="B4" s="2" t="s">
        <v>14</v>
      </c>
      <c r="C4" s="1">
        <v>6877415.1235020002</v>
      </c>
      <c r="D4" s="1">
        <v>6779022.9982860005</v>
      </c>
      <c r="E4" s="1">
        <v>7784347.6894260012</v>
      </c>
      <c r="F4" s="1">
        <v>8348270.6750520002</v>
      </c>
      <c r="G4" s="1">
        <v>8009777.1318179993</v>
      </c>
      <c r="H4" s="1">
        <v>8114961.8286660006</v>
      </c>
      <c r="I4" s="1">
        <v>8358209.4320340008</v>
      </c>
      <c r="J4" s="1">
        <v>9848569.4570339993</v>
      </c>
      <c r="K4" s="1">
        <v>7582229.6282040011</v>
      </c>
      <c r="L4" s="1">
        <v>8546240.8009532411</v>
      </c>
      <c r="M4" s="1">
        <v>9774392.45658876</v>
      </c>
      <c r="N4" s="1">
        <v>12314112.214265402</v>
      </c>
      <c r="O4" s="1">
        <f t="shared" si="0"/>
        <v>102337549.4358294</v>
      </c>
    </row>
    <row r="5" spans="2:15" x14ac:dyDescent="0.35">
      <c r="B5" s="2" t="s">
        <v>27</v>
      </c>
      <c r="C5" s="1">
        <v>4830227.2917360002</v>
      </c>
      <c r="D5" s="1">
        <v>5367476.6948880004</v>
      </c>
      <c r="E5" s="1">
        <v>6406790.7454320006</v>
      </c>
      <c r="F5" s="1">
        <v>6613876.436706</v>
      </c>
      <c r="G5" s="1">
        <v>6525947.4795899997</v>
      </c>
      <c r="H5" s="1">
        <v>5905965.4130400009</v>
      </c>
      <c r="I5" s="1">
        <v>7958100.1079580011</v>
      </c>
      <c r="J5" s="1">
        <v>8218830.9624959994</v>
      </c>
      <c r="K5" s="1">
        <v>6368034.7125780005</v>
      </c>
      <c r="L5" s="1">
        <v>6747029.1077943603</v>
      </c>
      <c r="M5" s="1">
        <v>7522810.4952831622</v>
      </c>
      <c r="N5" s="1">
        <v>8216356.8623597994</v>
      </c>
      <c r="O5" s="1">
        <f t="shared" si="0"/>
        <v>80681446.309861332</v>
      </c>
    </row>
    <row r="6" spans="2:15" x14ac:dyDescent="0.35">
      <c r="B6" s="2" t="s">
        <v>33</v>
      </c>
      <c r="C6" s="1">
        <v>3960612.7781220004</v>
      </c>
      <c r="D6" s="1">
        <v>4547223.4144260008</v>
      </c>
      <c r="E6" s="1">
        <v>4972229.9337480003</v>
      </c>
      <c r="F6" s="1">
        <v>5864015.8061100002</v>
      </c>
      <c r="G6" s="1">
        <v>6141860.3011920005</v>
      </c>
      <c r="H6" s="1">
        <v>4649926.0245899996</v>
      </c>
      <c r="I6" s="1">
        <v>6893790.7218180001</v>
      </c>
      <c r="J6" s="1">
        <v>7272262.2758940011</v>
      </c>
      <c r="K6" s="1">
        <v>5954602.4574960005</v>
      </c>
      <c r="L6" s="1">
        <v>5801443.4533532411</v>
      </c>
      <c r="M6" s="1">
        <v>6961732.1440238887</v>
      </c>
      <c r="N6" s="1">
        <v>6961732.1440238887</v>
      </c>
      <c r="O6" s="1">
        <f t="shared" si="0"/>
        <v>69981431.454797029</v>
      </c>
    </row>
    <row r="7" spans="2:15" x14ac:dyDescent="0.35">
      <c r="B7" s="2" t="s">
        <v>19</v>
      </c>
      <c r="C7" s="1">
        <v>3713887.4424960003</v>
      </c>
      <c r="D7" s="1">
        <v>3565875.3553499999</v>
      </c>
      <c r="E7" s="1">
        <v>3618981.1017359998</v>
      </c>
      <c r="F7" s="1">
        <v>3862768.1085840003</v>
      </c>
      <c r="G7" s="1">
        <v>4683216.5577119999</v>
      </c>
      <c r="H7" s="1">
        <v>3722047.5077939997</v>
      </c>
      <c r="I7" s="1">
        <v>5327668.463502001</v>
      </c>
      <c r="J7" s="1">
        <v>4940974.4630400008</v>
      </c>
      <c r="K7" s="1">
        <v>4182774.7162740002</v>
      </c>
      <c r="L7" s="1">
        <v>6037795.8127317606</v>
      </c>
      <c r="M7" s="1">
        <v>7245354.975278113</v>
      </c>
      <c r="N7" s="1">
        <v>7245354.975278113</v>
      </c>
      <c r="O7" s="1">
        <f t="shared" si="0"/>
        <v>58146699.47977598</v>
      </c>
    </row>
    <row r="8" spans="2:15" x14ac:dyDescent="0.35">
      <c r="B8" s="2" t="s">
        <v>16</v>
      </c>
      <c r="C8" s="1">
        <v>4280441.5005659992</v>
      </c>
      <c r="D8" s="1">
        <v>4318510.3098060004</v>
      </c>
      <c r="E8" s="1">
        <v>4206665.8958940003</v>
      </c>
      <c r="F8" s="1">
        <v>4574677.76535</v>
      </c>
      <c r="G8" s="1">
        <v>4826802.6155580003</v>
      </c>
      <c r="H8" s="1">
        <v>4528654.4563260004</v>
      </c>
      <c r="I8" s="1">
        <v>5235186.4238520013</v>
      </c>
      <c r="J8" s="1">
        <v>5253517.4468700001</v>
      </c>
      <c r="K8" s="1">
        <v>5191413.1079580002</v>
      </c>
      <c r="L8" s="1">
        <v>4432854.7889102409</v>
      </c>
      <c r="M8" s="1">
        <v>5319425.7466922896</v>
      </c>
      <c r="N8" s="1">
        <v>5319425.7466922896</v>
      </c>
      <c r="O8" s="1">
        <f t="shared" si="0"/>
        <v>57487575.804474831</v>
      </c>
    </row>
    <row r="9" spans="2:15" x14ac:dyDescent="0.35">
      <c r="B9" s="2" t="s">
        <v>20</v>
      </c>
      <c r="C9" s="1">
        <v>3191195.6496420004</v>
      </c>
      <c r="D9" s="1">
        <v>3577321.4275260004</v>
      </c>
      <c r="E9" s="1">
        <v>4196807.9690460004</v>
      </c>
      <c r="F9" s="1">
        <v>4258253.9570340002</v>
      </c>
      <c r="G9" s="1">
        <v>4469994.3412740007</v>
      </c>
      <c r="H9" s="1">
        <v>2881782.7199700004</v>
      </c>
      <c r="I9" s="1">
        <v>4523153.2241280004</v>
      </c>
      <c r="J9" s="1">
        <v>6432278.0957819996</v>
      </c>
      <c r="K9" s="1">
        <v>5342862.4788000006</v>
      </c>
      <c r="L9" s="1">
        <v>4112550.9983065203</v>
      </c>
      <c r="M9" s="1">
        <v>4935061.1979678245</v>
      </c>
      <c r="N9" s="1">
        <v>4935061.1979678245</v>
      </c>
      <c r="O9" s="1">
        <f t="shared" si="0"/>
        <v>52856323.257444181</v>
      </c>
    </row>
    <row r="10" spans="2:15" x14ac:dyDescent="0.35">
      <c r="B10" s="2" t="s">
        <v>30</v>
      </c>
      <c r="C10" s="1">
        <v>2952759.7771979999</v>
      </c>
      <c r="D10" s="1">
        <v>3631590.240894</v>
      </c>
      <c r="E10" s="1">
        <v>3867079.7189640007</v>
      </c>
      <c r="F10" s="1">
        <v>4126283.6436360003</v>
      </c>
      <c r="G10" s="1">
        <v>3940516.9169520005</v>
      </c>
      <c r="H10" s="1">
        <v>3776288.640894</v>
      </c>
      <c r="I10" s="1">
        <v>5115940.7939640004</v>
      </c>
      <c r="J10" s="1">
        <v>4772956.6028760001</v>
      </c>
      <c r="K10" s="1">
        <v>4040548.032906</v>
      </c>
      <c r="L10" s="1">
        <v>4392593.6946738008</v>
      </c>
      <c r="M10" s="1">
        <v>5639615.5018803617</v>
      </c>
      <c r="N10" s="1">
        <v>5797731.380160721</v>
      </c>
      <c r="O10" s="1">
        <f t="shared" si="0"/>
        <v>52053904.944998883</v>
      </c>
    </row>
    <row r="11" spans="2:15" x14ac:dyDescent="0.35">
      <c r="B11" s="2" t="s">
        <v>25</v>
      </c>
      <c r="C11" s="1">
        <v>3301394.2264380003</v>
      </c>
      <c r="D11" s="1">
        <v>3285168.7929060003</v>
      </c>
      <c r="E11" s="1">
        <v>3334690.5608940003</v>
      </c>
      <c r="F11" s="1">
        <v>3472334.2305960003</v>
      </c>
      <c r="G11" s="1">
        <v>3407348.1426600004</v>
      </c>
      <c r="H11" s="1">
        <v>4015646.2153500002</v>
      </c>
      <c r="I11" s="1">
        <v>4393838.246952001</v>
      </c>
      <c r="J11" s="1">
        <v>4331252.2901340006</v>
      </c>
      <c r="K11" s="1">
        <v>3824149.512414</v>
      </c>
      <c r="L11" s="1">
        <v>4177635.9988532402</v>
      </c>
      <c r="M11" s="1">
        <v>5013163.1986238891</v>
      </c>
      <c r="N11" s="1">
        <v>5013163.1986238891</v>
      </c>
      <c r="O11" s="1">
        <f t="shared" si="0"/>
        <v>47569784.614445016</v>
      </c>
    </row>
    <row r="12" spans="2:15" x14ac:dyDescent="0.35">
      <c r="B12" s="2" t="s">
        <v>15</v>
      </c>
      <c r="C12" s="1">
        <v>2986404.9285840006</v>
      </c>
      <c r="D12" s="1">
        <v>3268845.3262080005</v>
      </c>
      <c r="E12" s="1">
        <v>3423142.7501040003</v>
      </c>
      <c r="F12" s="1">
        <v>3537326.0662740003</v>
      </c>
      <c r="G12" s="1">
        <v>3566363.9000220005</v>
      </c>
      <c r="H12" s="1">
        <v>3692419.4519520006</v>
      </c>
      <c r="I12" s="1">
        <v>3639393.4102680003</v>
      </c>
      <c r="J12" s="1">
        <v>4744742.2771979999</v>
      </c>
      <c r="K12" s="1">
        <v>3454549.5110280002</v>
      </c>
      <c r="L12" s="1">
        <v>3955817.3321990413</v>
      </c>
      <c r="M12" s="1">
        <v>4963411.3345093206</v>
      </c>
      <c r="N12" s="1">
        <v>5185812.0510134399</v>
      </c>
      <c r="O12" s="1">
        <f t="shared" si="0"/>
        <v>46418228.339359805</v>
      </c>
    </row>
    <row r="13" spans="2:15" x14ac:dyDescent="0.35">
      <c r="B13" s="2" t="s">
        <v>31</v>
      </c>
      <c r="C13" s="1">
        <v>2607844.4519820004</v>
      </c>
      <c r="D13" s="1">
        <v>2879553.5607300005</v>
      </c>
      <c r="E13" s="1">
        <v>3187951.2703499999</v>
      </c>
      <c r="F13" s="1">
        <v>2775798.7654320002</v>
      </c>
      <c r="G13" s="1">
        <v>3713579.0875260001</v>
      </c>
      <c r="H13" s="1">
        <v>3797642.2795080002</v>
      </c>
      <c r="I13" s="1">
        <v>4009490.0889119999</v>
      </c>
      <c r="J13" s="1">
        <v>3779870.28804</v>
      </c>
      <c r="K13" s="1">
        <v>3697223.1172800004</v>
      </c>
      <c r="L13" s="1">
        <v>3338375.9002532405</v>
      </c>
      <c r="M13" s="1">
        <v>4006051.0803038888</v>
      </c>
      <c r="N13" s="1">
        <v>4006051.0803038888</v>
      </c>
      <c r="O13" s="1">
        <f t="shared" si="0"/>
        <v>41799430.97062102</v>
      </c>
    </row>
    <row r="14" spans="2:15" x14ac:dyDescent="0.35">
      <c r="B14" s="2" t="s">
        <v>21</v>
      </c>
      <c r="C14" s="1">
        <v>2449004.2084199996</v>
      </c>
      <c r="D14" s="1">
        <v>2670752.6574960002</v>
      </c>
      <c r="E14" s="1">
        <v>2982521.8264380004</v>
      </c>
      <c r="F14" s="1">
        <v>2947352.0362439998</v>
      </c>
      <c r="G14" s="1">
        <v>3508173.8538000002</v>
      </c>
      <c r="H14" s="1">
        <v>3033145.4593440001</v>
      </c>
      <c r="I14" s="1">
        <v>4016454.7176600005</v>
      </c>
      <c r="J14" s="1">
        <v>3960298.6084199999</v>
      </c>
      <c r="K14" s="1">
        <v>3531008.2125780005</v>
      </c>
      <c r="L14" s="1">
        <v>3439685.5082990406</v>
      </c>
      <c r="M14" s="1">
        <v>4127622.6099588489</v>
      </c>
      <c r="N14" s="1">
        <v>4127622.6099588489</v>
      </c>
      <c r="O14" s="1">
        <f t="shared" si="0"/>
        <v>40793642.308616735</v>
      </c>
    </row>
    <row r="15" spans="2:15" x14ac:dyDescent="0.35">
      <c r="B15" s="2" t="s">
        <v>28</v>
      </c>
      <c r="C15" s="1">
        <v>2563060.4847539999</v>
      </c>
      <c r="D15" s="1">
        <v>2169415.6688820003</v>
      </c>
      <c r="E15" s="1">
        <v>2746058.6755139995</v>
      </c>
      <c r="F15" s="1">
        <v>3005102.0385540002</v>
      </c>
      <c r="G15" s="1">
        <v>2795169.2588820006</v>
      </c>
      <c r="H15" s="1">
        <v>3191531.7652679998</v>
      </c>
      <c r="I15" s="1">
        <v>3626287.6206479999</v>
      </c>
      <c r="J15" s="1">
        <v>3671848.91304</v>
      </c>
      <c r="K15" s="1">
        <v>3106893.37035</v>
      </c>
      <c r="L15" s="1">
        <v>3181175.7875990407</v>
      </c>
      <c r="M15" s="1">
        <v>4578066.5691868803</v>
      </c>
      <c r="N15" s="1">
        <v>5461309.6629168009</v>
      </c>
      <c r="O15" s="1">
        <f t="shared" si="0"/>
        <v>40095919.815594725</v>
      </c>
    </row>
    <row r="16" spans="2:15" x14ac:dyDescent="0.35">
      <c r="B16" s="2" t="s">
        <v>17</v>
      </c>
      <c r="C16" s="1">
        <v>2112864.559806</v>
      </c>
      <c r="D16" s="1">
        <v>2490682.385268</v>
      </c>
      <c r="E16" s="1">
        <v>2572093.7245079996</v>
      </c>
      <c r="F16" s="1">
        <v>3014700.1245899997</v>
      </c>
      <c r="G16" s="1">
        <v>3168257.3759760004</v>
      </c>
      <c r="H16" s="1">
        <v>3378773.4643740002</v>
      </c>
      <c r="I16" s="1">
        <v>3831076.0640460001</v>
      </c>
      <c r="J16" s="1">
        <v>4066840.4422800005</v>
      </c>
      <c r="K16" s="1">
        <v>3015306.4778760006</v>
      </c>
      <c r="L16" s="1">
        <v>2601254.2598196003</v>
      </c>
      <c r="M16" s="1">
        <v>4588066.6383644398</v>
      </c>
      <c r="N16" s="1">
        <v>4606685.8143121209</v>
      </c>
      <c r="O16" s="1">
        <f t="shared" si="0"/>
        <v>39446601.331220165</v>
      </c>
    </row>
    <row r="17" spans="2:17" x14ac:dyDescent="0.35">
      <c r="B17" s="2" t="s">
        <v>22</v>
      </c>
      <c r="C17" s="1">
        <v>2293656.7296719998</v>
      </c>
      <c r="D17" s="1">
        <v>2520302.3755139997</v>
      </c>
      <c r="E17" s="1">
        <v>2696035.6213560002</v>
      </c>
      <c r="F17" s="1">
        <v>2787476.9579580002</v>
      </c>
      <c r="G17" s="1">
        <v>3204166.3204320003</v>
      </c>
      <c r="H17" s="1">
        <v>2847998.9528760007</v>
      </c>
      <c r="I17" s="1">
        <v>4003217.2524959999</v>
      </c>
      <c r="J17" s="1">
        <v>3649304.4467880004</v>
      </c>
      <c r="K17" s="1">
        <v>3147016.9102679999</v>
      </c>
      <c r="L17" s="1">
        <v>3429582.5749046397</v>
      </c>
      <c r="M17" s="1">
        <v>4115499.0898855673</v>
      </c>
      <c r="N17" s="1">
        <v>4115499.0898855673</v>
      </c>
      <c r="O17" s="1">
        <f t="shared" si="0"/>
        <v>38809756.322035782</v>
      </c>
    </row>
    <row r="18" spans="2:17" x14ac:dyDescent="0.35">
      <c r="B18" s="2" t="s">
        <v>23</v>
      </c>
      <c r="C18" s="1">
        <v>2240780.8259760002</v>
      </c>
      <c r="D18" s="1">
        <v>2481332.671356</v>
      </c>
      <c r="E18" s="1">
        <v>2341854.8690460003</v>
      </c>
      <c r="F18" s="1">
        <v>3331679.4675780004</v>
      </c>
      <c r="G18" s="1">
        <v>2627255.3805959998</v>
      </c>
      <c r="H18" s="1">
        <v>2563278.7515720003</v>
      </c>
      <c r="I18" s="1">
        <v>3214128.202362</v>
      </c>
      <c r="J18" s="1">
        <v>3349866.10035</v>
      </c>
      <c r="K18" s="1">
        <v>2697624.8787179999</v>
      </c>
      <c r="L18" s="1">
        <v>2993480.8017298803</v>
      </c>
      <c r="M18" s="1">
        <v>3592176.9620758565</v>
      </c>
      <c r="N18" s="1">
        <v>3592176.9620758565</v>
      </c>
      <c r="O18" s="1">
        <f t="shared" si="0"/>
        <v>35025635.873435594</v>
      </c>
    </row>
    <row r="19" spans="2:17" x14ac:dyDescent="0.35">
      <c r="B19" s="2" t="s">
        <v>37</v>
      </c>
      <c r="C19" s="1">
        <v>2900170.3227419998</v>
      </c>
      <c r="D19" s="1">
        <v>2355632.8765199999</v>
      </c>
      <c r="E19" s="1">
        <v>2717056.6144260005</v>
      </c>
      <c r="F19" s="1">
        <v>2630512.4477940002</v>
      </c>
      <c r="G19" s="1">
        <v>2507383.6755659999</v>
      </c>
      <c r="H19" s="1">
        <v>2409791.9736659997</v>
      </c>
      <c r="I19" s="1">
        <v>3296341.1037479998</v>
      </c>
      <c r="J19" s="1">
        <v>3308843.9565720009</v>
      </c>
      <c r="K19" s="1">
        <v>2980592.9699700004</v>
      </c>
      <c r="L19" s="1">
        <v>3159428.5481682001</v>
      </c>
      <c r="M19" s="1">
        <v>3348994.2610582924</v>
      </c>
      <c r="N19" s="1">
        <v>3348994.2610582924</v>
      </c>
      <c r="O19" s="1">
        <f t="shared" si="0"/>
        <v>34963743.011288784</v>
      </c>
    </row>
    <row r="20" spans="2:17" x14ac:dyDescent="0.35">
      <c r="B20" s="2" t="s">
        <v>29</v>
      </c>
      <c r="C20" s="1">
        <v>2326100.6833679997</v>
      </c>
      <c r="D20" s="1">
        <v>2489536.6419000002</v>
      </c>
      <c r="E20" s="1">
        <v>2130002.4641280002</v>
      </c>
      <c r="F20" s="1">
        <v>2370354.4917360004</v>
      </c>
      <c r="G20" s="1">
        <v>2475139.5664380002</v>
      </c>
      <c r="H20" s="1">
        <v>2317021.2205139999</v>
      </c>
      <c r="I20" s="1">
        <v>3138022.9534500004</v>
      </c>
      <c r="J20" s="1">
        <v>3188227.3361399998</v>
      </c>
      <c r="K20" s="1">
        <v>2782511.6457600002</v>
      </c>
      <c r="L20" s="1">
        <v>2984100.2185579203</v>
      </c>
      <c r="M20" s="1">
        <v>3352708.7641924806</v>
      </c>
      <c r="N20" s="1">
        <v>4125259.2097793994</v>
      </c>
      <c r="O20" s="1">
        <f t="shared" si="0"/>
        <v>33678985.1959638</v>
      </c>
    </row>
    <row r="21" spans="2:17" x14ac:dyDescent="0.35">
      <c r="B21" s="2" t="s">
        <v>32</v>
      </c>
      <c r="C21" s="1">
        <v>1655334.4222800001</v>
      </c>
      <c r="D21" s="1">
        <v>2018995.4252160001</v>
      </c>
      <c r="E21" s="1">
        <v>2258212.0929060001</v>
      </c>
      <c r="F21" s="1">
        <v>2319436.3171980004</v>
      </c>
      <c r="G21" s="1">
        <v>2182630.0224960004</v>
      </c>
      <c r="H21" s="1">
        <v>2117165.7733380003</v>
      </c>
      <c r="I21" s="1">
        <v>2910863.3067359999</v>
      </c>
      <c r="J21" s="1">
        <v>3231171.3962220005</v>
      </c>
      <c r="K21" s="1">
        <v>2350020.7088820003</v>
      </c>
      <c r="L21" s="1">
        <v>2631675.6667093202</v>
      </c>
      <c r="M21" s="1">
        <v>3158010.8000511839</v>
      </c>
      <c r="N21" s="1">
        <v>3158010.8000511839</v>
      </c>
      <c r="O21" s="1">
        <f t="shared" si="0"/>
        <v>29991526.732085682</v>
      </c>
    </row>
    <row r="22" spans="2:17" x14ac:dyDescent="0.35">
      <c r="B22" s="2" t="s">
        <v>38</v>
      </c>
      <c r="C22" s="1">
        <v>1949381.2125480003</v>
      </c>
      <c r="D22" s="1">
        <v>2553624.1259760004</v>
      </c>
      <c r="E22" s="1">
        <v>2054560.1482559999</v>
      </c>
      <c r="F22" s="1">
        <v>2403497.2181219999</v>
      </c>
      <c r="G22" s="1">
        <v>1977290.6667360002</v>
      </c>
      <c r="H22" s="1">
        <v>2406852.49266</v>
      </c>
      <c r="I22" s="1">
        <v>2897602.7434199997</v>
      </c>
      <c r="J22" s="1">
        <v>2614632.3745079995</v>
      </c>
      <c r="K22" s="1">
        <v>2520302.3621159997</v>
      </c>
      <c r="L22" s="1">
        <v>2390188.6176168006</v>
      </c>
      <c r="M22" s="1">
        <v>2868226.3411401613</v>
      </c>
      <c r="N22" s="1">
        <v>2868226.3411401613</v>
      </c>
      <c r="O22" s="1">
        <f t="shared" si="0"/>
        <v>29504384.644239128</v>
      </c>
    </row>
    <row r="23" spans="2:17" x14ac:dyDescent="0.35">
      <c r="B23" s="2" t="s">
        <v>24</v>
      </c>
      <c r="C23" s="1">
        <v>1795666.9232040001</v>
      </c>
      <c r="D23" s="1">
        <v>1892640.7227420004</v>
      </c>
      <c r="E23" s="1">
        <v>1650634.7388300002</v>
      </c>
      <c r="F23" s="1">
        <v>2048578.4235840004</v>
      </c>
      <c r="G23" s="1">
        <v>2206366.4418180003</v>
      </c>
      <c r="H23" s="1">
        <v>2244085.2685019998</v>
      </c>
      <c r="I23" s="1">
        <v>2278410.7167360005</v>
      </c>
      <c r="J23" s="1">
        <v>2468754.6691500004</v>
      </c>
      <c r="K23" s="1">
        <v>2347421.965812</v>
      </c>
      <c r="L23" s="1">
        <v>2808126.6691354797</v>
      </c>
      <c r="M23" s="1">
        <v>3369752.0029625758</v>
      </c>
      <c r="N23" s="1">
        <v>3369752.0029625758</v>
      </c>
      <c r="O23" s="1">
        <f t="shared" si="0"/>
        <v>28480190.545438632</v>
      </c>
    </row>
    <row r="24" spans="2:17" x14ac:dyDescent="0.35">
      <c r="B24" s="2" t="s">
        <v>34</v>
      </c>
      <c r="C24" s="1">
        <v>1727367.1481219998</v>
      </c>
      <c r="D24" s="1">
        <v>1678790.153502</v>
      </c>
      <c r="E24" s="1">
        <v>1914837.5242920001</v>
      </c>
      <c r="F24" s="1">
        <v>2061132.1218180002</v>
      </c>
      <c r="G24" s="1">
        <v>1955138.9092620004</v>
      </c>
      <c r="H24" s="1">
        <v>1625373.7208940003</v>
      </c>
      <c r="I24" s="1">
        <v>2577790.1923619998</v>
      </c>
      <c r="J24" s="1">
        <v>2256547.7263559997</v>
      </c>
      <c r="K24" s="1">
        <v>1639671.450186</v>
      </c>
      <c r="L24" s="1">
        <v>2734788.6578812804</v>
      </c>
      <c r="M24" s="1">
        <v>3281746.3894575364</v>
      </c>
      <c r="N24" s="1">
        <v>3281746.3894575364</v>
      </c>
      <c r="O24" s="1">
        <f t="shared" si="0"/>
        <v>26734930.383590348</v>
      </c>
    </row>
    <row r="25" spans="2:17" x14ac:dyDescent="0.35">
      <c r="B25" s="2" t="s">
        <v>36</v>
      </c>
      <c r="C25" s="1">
        <v>1355981.5148880002</v>
      </c>
      <c r="D25" s="1">
        <v>1590672.9142920002</v>
      </c>
      <c r="E25" s="1">
        <v>1717173.1190460001</v>
      </c>
      <c r="F25" s="1">
        <v>1762988.5045080001</v>
      </c>
      <c r="G25" s="1">
        <v>1486180.0499700001</v>
      </c>
      <c r="H25" s="1">
        <v>1480250.2827420002</v>
      </c>
      <c r="I25" s="1">
        <v>1763500.1741280002</v>
      </c>
      <c r="J25" s="1">
        <v>2078863.6781219998</v>
      </c>
      <c r="K25" s="1">
        <v>2358915.3731219997</v>
      </c>
      <c r="L25" s="1">
        <v>1985475.4277635203</v>
      </c>
      <c r="M25" s="1">
        <v>2382570.5133162248</v>
      </c>
      <c r="N25" s="1">
        <v>2382570.5133162248</v>
      </c>
      <c r="O25" s="1">
        <f t="shared" si="0"/>
        <v>22345142.065213971</v>
      </c>
    </row>
    <row r="26" spans="2:17" x14ac:dyDescent="0.35">
      <c r="B26" s="2" t="s">
        <v>40</v>
      </c>
      <c r="C26" s="1">
        <v>859507.07581200008</v>
      </c>
      <c r="D26" s="1">
        <v>1064056.4185020002</v>
      </c>
      <c r="E26" s="1">
        <v>1696916.7096420003</v>
      </c>
      <c r="F26" s="1">
        <v>1377800.6268180001</v>
      </c>
      <c r="G26" s="1">
        <v>1415781.6389639999</v>
      </c>
      <c r="H26" s="1">
        <v>2025548.8827420003</v>
      </c>
      <c r="I26" s="1">
        <v>1541063.3224140001</v>
      </c>
      <c r="J26" s="1">
        <v>1889991.134262</v>
      </c>
      <c r="K26" s="1">
        <v>949698.72736200003</v>
      </c>
      <c r="L26" s="1">
        <v>1519351.3773345603</v>
      </c>
      <c r="M26" s="1">
        <v>1823221.6528014722</v>
      </c>
      <c r="N26" s="1">
        <v>1823221.6528014722</v>
      </c>
      <c r="O26" s="1">
        <f t="shared" si="0"/>
        <v>17986159.219455507</v>
      </c>
    </row>
    <row r="27" spans="2:17" x14ac:dyDescent="0.35">
      <c r="B27" s="2" t="s">
        <v>35</v>
      </c>
      <c r="C27" s="1">
        <v>939292.16581200005</v>
      </c>
      <c r="D27" s="1">
        <v>1025674.618584</v>
      </c>
      <c r="E27" s="1">
        <v>890100.71211600013</v>
      </c>
      <c r="F27" s="1">
        <v>1070765.801952</v>
      </c>
      <c r="G27" s="1">
        <v>1322082.2570339998</v>
      </c>
      <c r="H27" s="1">
        <v>1202920.9273619999</v>
      </c>
      <c r="I27" s="1">
        <v>1487062.4422500001</v>
      </c>
      <c r="J27" s="1">
        <v>1714655.2195079997</v>
      </c>
      <c r="K27" s="1">
        <v>1292618.2195079997</v>
      </c>
      <c r="L27" s="1">
        <v>1196264.7283448402</v>
      </c>
      <c r="M27" s="1">
        <v>1435517.6740138081</v>
      </c>
      <c r="N27" s="1">
        <v>1435517.6740138081</v>
      </c>
      <c r="O27" s="1">
        <f t="shared" si="0"/>
        <v>15012472.440498458</v>
      </c>
    </row>
    <row r="28" spans="2:17" x14ac:dyDescent="0.35">
      <c r="B28" s="2" t="s">
        <v>39</v>
      </c>
      <c r="C28" s="1">
        <v>500000</v>
      </c>
      <c r="D28" s="1">
        <v>500000</v>
      </c>
      <c r="E28" s="1">
        <v>500000</v>
      </c>
      <c r="F28" s="1">
        <v>500000</v>
      </c>
      <c r="G28" s="1">
        <v>500000</v>
      </c>
      <c r="H28" s="1">
        <v>500000</v>
      </c>
      <c r="I28" s="1">
        <v>500000</v>
      </c>
      <c r="J28" s="1">
        <v>500000</v>
      </c>
      <c r="K28" s="1">
        <v>500000</v>
      </c>
      <c r="L28" s="1">
        <v>500000</v>
      </c>
      <c r="M28" s="1">
        <v>500000</v>
      </c>
      <c r="N28" s="1">
        <v>500000</v>
      </c>
      <c r="O28" s="1">
        <f t="shared" si="0"/>
        <v>6000000</v>
      </c>
    </row>
    <row r="29" spans="2:17" x14ac:dyDescent="0.35">
      <c r="B29" s="4" t="s">
        <v>43</v>
      </c>
      <c r="C29" s="5">
        <f t="shared" ref="C29:O29" si="1">SUM(C3:C28)</f>
        <v>73551760.224211991</v>
      </c>
      <c r="D29" s="5">
        <f t="shared" si="1"/>
        <v>78561698.895950019</v>
      </c>
      <c r="E29" s="5">
        <f t="shared" si="1"/>
        <v>83569811.045144022</v>
      </c>
      <c r="F29" s="5">
        <f t="shared" si="1"/>
        <v>90859768.917110011</v>
      </c>
      <c r="G29" s="5">
        <f t="shared" si="1"/>
        <v>90884417.753630012</v>
      </c>
      <c r="H29" s="5">
        <f t="shared" si="1"/>
        <v>86816048.184211999</v>
      </c>
      <c r="I29" s="5">
        <f t="shared" si="1"/>
        <v>106253532.75964397</v>
      </c>
      <c r="J29" s="5">
        <f t="shared" si="1"/>
        <v>112010103.51912197</v>
      </c>
      <c r="K29" s="5">
        <f t="shared" si="1"/>
        <v>93144306.994778037</v>
      </c>
      <c r="L29" s="5">
        <f t="shared" si="1"/>
        <v>98271940.685573012</v>
      </c>
      <c r="M29" s="5">
        <f t="shared" si="1"/>
        <v>119117292.96362145</v>
      </c>
      <c r="N29" s="5">
        <f t="shared" si="1"/>
        <v>127195778.2873826</v>
      </c>
      <c r="O29" s="5">
        <f t="shared" si="1"/>
        <v>1160236460.2303789</v>
      </c>
      <c r="Q29" s="5">
        <f>IFERROR(O29/#REF!-1,0)</f>
        <v>0</v>
      </c>
    </row>
    <row r="31" spans="2:17" x14ac:dyDescent="0.35">
      <c r="O31" s="3">
        <f>O29-6000000</f>
        <v>1154236460.2303789</v>
      </c>
    </row>
    <row r="33" spans="15:15" x14ac:dyDescent="0.35">
      <c r="O33" s="3" t="e">
        <f>O31-#REF!</f>
        <v>#REF!</v>
      </c>
    </row>
  </sheetData>
  <autoFilter ref="B2:O2" xr:uid="{6AA1EA03-64F9-4395-BD20-E5C8EA5075E7}">
    <sortState xmlns:xlrd2="http://schemas.microsoft.com/office/spreadsheetml/2017/richdata2" ref="B3:O28">
      <sortCondition descending="1" ref="O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749D-CCFD-4DE7-A6A4-476B95FEB2D8}">
  <dimension ref="B2:O5"/>
  <sheetViews>
    <sheetView topLeftCell="G1" workbookViewId="0">
      <selection activeCell="O3" sqref="O3"/>
    </sheetView>
  </sheetViews>
  <sheetFormatPr defaultRowHeight="14.5" x14ac:dyDescent="0.35"/>
  <cols>
    <col min="1" max="1" width="2.54296875" customWidth="1"/>
    <col min="2" max="2" width="26" bestFit="1" customWidth="1"/>
    <col min="3" max="14" width="16.81640625" bestFit="1" customWidth="1"/>
    <col min="15" max="15" width="17.90625" bestFit="1" customWidth="1"/>
  </cols>
  <sheetData>
    <row r="2" spans="2:15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x14ac:dyDescent="0.35">
      <c r="B3" s="2" t="s">
        <v>18</v>
      </c>
      <c r="C3" s="2">
        <v>5854655.0601000004</v>
      </c>
      <c r="D3" s="2">
        <v>4659274.2157500004</v>
      </c>
      <c r="E3" s="2">
        <v>5743242.7437000014</v>
      </c>
      <c r="F3" s="2">
        <v>5520885.909</v>
      </c>
      <c r="G3" s="2">
        <v>5411587.0115999999</v>
      </c>
      <c r="H3" s="2">
        <v>6086880.1917000003</v>
      </c>
      <c r="I3" s="2">
        <v>5513351.9479499999</v>
      </c>
      <c r="J3" s="2">
        <v>5213623.5921000009</v>
      </c>
      <c r="K3" s="2">
        <v>5631374.883750001</v>
      </c>
      <c r="L3" s="2">
        <v>5113917.7749660015</v>
      </c>
      <c r="M3" s="2">
        <v>9208631.1306990013</v>
      </c>
      <c r="N3" s="2">
        <v>4679213.0054670013</v>
      </c>
      <c r="O3" s="2">
        <f>SUM(C3:N3)</f>
        <v>68636637.466782004</v>
      </c>
    </row>
    <row r="4" spans="2:15" x14ac:dyDescent="0.35">
      <c r="B4" t="s">
        <v>41</v>
      </c>
      <c r="C4" s="3">
        <f t="shared" ref="C4:O4" si="0">C3*1.16</f>
        <v>6791399.8697159998</v>
      </c>
      <c r="D4" s="3">
        <f t="shared" si="0"/>
        <v>5404758.0902700005</v>
      </c>
      <c r="E4" s="3">
        <f t="shared" si="0"/>
        <v>6662161.582692001</v>
      </c>
      <c r="F4" s="3">
        <f t="shared" si="0"/>
        <v>6404227.6544399997</v>
      </c>
      <c r="G4" s="3">
        <f t="shared" si="0"/>
        <v>6277440.933455999</v>
      </c>
      <c r="H4" s="3">
        <f t="shared" si="0"/>
        <v>7060781.0223719999</v>
      </c>
      <c r="I4" s="3">
        <f t="shared" si="0"/>
        <v>6395488.2596219992</v>
      </c>
      <c r="J4" s="3">
        <f t="shared" si="0"/>
        <v>6047803.3668360002</v>
      </c>
      <c r="K4" s="3">
        <f t="shared" si="0"/>
        <v>6532394.8651500009</v>
      </c>
      <c r="L4" s="3">
        <f t="shared" si="0"/>
        <v>5932144.6189605612</v>
      </c>
      <c r="M4" s="3">
        <f t="shared" si="0"/>
        <v>10682012.111610841</v>
      </c>
      <c r="N4" s="3">
        <f t="shared" si="0"/>
        <v>5427887.086341721</v>
      </c>
      <c r="O4" s="3">
        <f t="shared" si="0"/>
        <v>79618499.461467117</v>
      </c>
    </row>
    <row r="5" spans="2:15" x14ac:dyDescent="0.35">
      <c r="B5" t="s">
        <v>42</v>
      </c>
      <c r="C5" s="3">
        <f>C4/0.8</f>
        <v>8489249.8371449988</v>
      </c>
      <c r="D5" s="3">
        <f t="shared" ref="D5:N5" si="1">D4/0.8</f>
        <v>6755947.6128374999</v>
      </c>
      <c r="E5" s="3">
        <f t="shared" si="1"/>
        <v>8327701.9783650013</v>
      </c>
      <c r="F5" s="3">
        <f t="shared" si="1"/>
        <v>8005284.568049999</v>
      </c>
      <c r="G5" s="3">
        <f t="shared" si="1"/>
        <v>7846801.1668199981</v>
      </c>
      <c r="H5" s="3">
        <f t="shared" si="1"/>
        <v>8825976.2779649999</v>
      </c>
      <c r="I5" s="3">
        <f t="shared" si="1"/>
        <v>7994360.3245274983</v>
      </c>
      <c r="J5" s="3">
        <f t="shared" si="1"/>
        <v>7559754.2085450003</v>
      </c>
      <c r="K5" s="3">
        <f t="shared" si="1"/>
        <v>8165493.5814375011</v>
      </c>
      <c r="L5" s="3">
        <f t="shared" si="1"/>
        <v>7415180.7737007011</v>
      </c>
      <c r="M5" s="3">
        <f t="shared" si="1"/>
        <v>13352515.13951355</v>
      </c>
      <c r="N5" s="3">
        <f t="shared" si="1"/>
        <v>6784858.857927151</v>
      </c>
      <c r="O5" s="3">
        <f>O4/0.8</f>
        <v>99523124.326833889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FDE4-1354-4596-9C3D-8264D54D51C2}">
  <dimension ref="B2:O5"/>
  <sheetViews>
    <sheetView topLeftCell="C1" workbookViewId="0">
      <selection activeCell="I15" sqref="I15"/>
    </sheetView>
  </sheetViews>
  <sheetFormatPr defaultRowHeight="14.5" x14ac:dyDescent="0.35"/>
  <cols>
    <col min="1" max="1" width="2.7265625" customWidth="1"/>
    <col min="2" max="2" width="11.36328125" bestFit="1" customWidth="1"/>
    <col min="3" max="9" width="12.7265625" bestFit="1" customWidth="1"/>
    <col min="10" max="10" width="13.81640625" bestFit="1" customWidth="1"/>
    <col min="11" max="11" width="12.7265625" bestFit="1" customWidth="1"/>
    <col min="12" max="14" width="13.81640625" bestFit="1" customWidth="1"/>
    <col min="15" max="15" width="14.81640625" bestFit="1" customWidth="1"/>
  </cols>
  <sheetData>
    <row r="2" spans="2:15" x14ac:dyDescent="0.35"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2:15" x14ac:dyDescent="0.35">
      <c r="B3" s="1" t="s">
        <v>53</v>
      </c>
      <c r="C3" s="3">
        <v>2269808.5473740483</v>
      </c>
      <c r="D3" s="3">
        <v>2975956.7390525248</v>
      </c>
      <c r="E3" s="3">
        <v>3073631.0859454442</v>
      </c>
      <c r="F3" s="3">
        <v>2980790.9444787591</v>
      </c>
      <c r="G3" s="3">
        <v>3378756.64318426</v>
      </c>
      <c r="H3" s="3">
        <v>3308714.9792581107</v>
      </c>
      <c r="I3" s="3">
        <v>3413764.9632744715</v>
      </c>
      <c r="J3" s="3">
        <v>3910378.3078568126</v>
      </c>
      <c r="K3" s="3">
        <v>3066594.4929061779</v>
      </c>
      <c r="L3" s="3">
        <v>3924237.8958135364</v>
      </c>
      <c r="M3" s="3">
        <v>4709085.4749762435</v>
      </c>
      <c r="N3" s="3">
        <v>4709085.4749762435</v>
      </c>
      <c r="O3" s="3">
        <f>SUM(C3:N3)</f>
        <v>41720805.549096629</v>
      </c>
    </row>
    <row r="4" spans="2:15" x14ac:dyDescent="0.35">
      <c r="B4" s="1" t="s">
        <v>54</v>
      </c>
      <c r="C4" s="3">
        <v>6195000</v>
      </c>
      <c r="D4" s="3">
        <v>6195000</v>
      </c>
      <c r="E4" s="3">
        <v>6195000</v>
      </c>
      <c r="F4" s="3">
        <v>6195000</v>
      </c>
      <c r="G4" s="3">
        <v>6195000</v>
      </c>
      <c r="H4" s="3">
        <v>6195000</v>
      </c>
      <c r="I4" s="3">
        <v>6195000</v>
      </c>
      <c r="J4" s="3">
        <v>6195000</v>
      </c>
      <c r="K4" s="3">
        <v>6195000</v>
      </c>
      <c r="L4" s="3">
        <v>8496000</v>
      </c>
      <c r="M4" s="3">
        <v>8496000</v>
      </c>
      <c r="N4" s="3">
        <v>8496000</v>
      </c>
      <c r="O4" s="3">
        <f>SUM(C4:N4)</f>
        <v>81243000</v>
      </c>
    </row>
    <row r="5" spans="2:15" x14ac:dyDescent="0.35">
      <c r="C5" s="3">
        <f>SUM(C3:C4)</f>
        <v>8464808.5473740473</v>
      </c>
      <c r="D5" s="3">
        <f t="shared" ref="D5:O5" si="0">SUM(D3:D4)</f>
        <v>9170956.7390525248</v>
      </c>
      <c r="E5" s="3">
        <f t="shared" si="0"/>
        <v>9268631.0859454442</v>
      </c>
      <c r="F5" s="3">
        <f t="shared" si="0"/>
        <v>9175790.9444787595</v>
      </c>
      <c r="G5" s="3">
        <f t="shared" si="0"/>
        <v>9573756.6431842595</v>
      </c>
      <c r="H5" s="3">
        <f t="shared" si="0"/>
        <v>9503714.9792581107</v>
      </c>
      <c r="I5" s="3">
        <f t="shared" si="0"/>
        <v>9608764.9632744715</v>
      </c>
      <c r="J5" s="3">
        <f t="shared" si="0"/>
        <v>10105378.307856813</v>
      </c>
      <c r="K5" s="3">
        <f t="shared" si="0"/>
        <v>9261594.4929061774</v>
      </c>
      <c r="L5" s="3">
        <f t="shared" si="0"/>
        <v>12420237.895813536</v>
      </c>
      <c r="M5" s="3">
        <f t="shared" si="0"/>
        <v>13205085.474976243</v>
      </c>
      <c r="N5" s="3">
        <f t="shared" si="0"/>
        <v>13205085.474976243</v>
      </c>
      <c r="O5" s="3">
        <f t="shared" si="0"/>
        <v>122963805.54909663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FB35-1D54-4A4B-9D8B-1AAED8A0B53D}">
  <dimension ref="B2:O3"/>
  <sheetViews>
    <sheetView workbookViewId="0">
      <selection activeCell="C9" sqref="C9"/>
    </sheetView>
  </sheetViews>
  <sheetFormatPr defaultRowHeight="14.5" x14ac:dyDescent="0.35"/>
  <cols>
    <col min="1" max="1" width="3.453125" customWidth="1"/>
    <col min="2" max="2" width="19.7265625" customWidth="1"/>
    <col min="3" max="14" width="12.81640625" bestFit="1" customWidth="1"/>
    <col min="15" max="15" width="13.81640625" bestFit="1" customWidth="1"/>
  </cols>
  <sheetData>
    <row r="2" spans="2:15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2:15" x14ac:dyDescent="0.35">
      <c r="B3" t="s">
        <v>44</v>
      </c>
      <c r="C3" s="1">
        <v>3557665.4861691748</v>
      </c>
      <c r="D3" s="1">
        <v>2630475.4121042197</v>
      </c>
      <c r="E3" s="1">
        <v>3592740.8796011005</v>
      </c>
      <c r="F3" s="1">
        <v>2489630.5316477059</v>
      </c>
      <c r="G3" s="1">
        <v>5063588.471790825</v>
      </c>
      <c r="H3" s="1">
        <v>4221745.5968851373</v>
      </c>
      <c r="I3" s="1">
        <v>3871062.2105438528</v>
      </c>
      <c r="J3" s="1">
        <v>3839508.9917504583</v>
      </c>
      <c r="K3" s="1">
        <v>2832688.0744117429</v>
      </c>
      <c r="L3" s="1">
        <v>5690752.8692426095</v>
      </c>
      <c r="M3" s="1">
        <v>7614199.1437686104</v>
      </c>
      <c r="N3" s="1">
        <v>6394225.3256675657</v>
      </c>
      <c r="O3" s="3">
        <f>SUM(C3:N3)</f>
        <v>51798282.993583001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Quartely Summary</vt:lpstr>
      <vt:lpstr>Kenya</vt:lpstr>
      <vt:lpstr>Online</vt:lpstr>
      <vt:lpstr>Uganda</vt:lpstr>
      <vt:lpstr>Rwanda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Nderitu</dc:creator>
  <cp:lastModifiedBy>Stephen Nderitu</cp:lastModifiedBy>
  <dcterms:created xsi:type="dcterms:W3CDTF">2026-01-06T08:36:49Z</dcterms:created>
  <dcterms:modified xsi:type="dcterms:W3CDTF">2026-01-06T09:23:08Z</dcterms:modified>
</cp:coreProperties>
</file>